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ovruz Engineer\Desktop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I5" i="1" l="1"/>
  <c r="I16" i="1"/>
  <c r="G16" i="1"/>
</calcChain>
</file>

<file path=xl/sharedStrings.xml><?xml version="1.0" encoding="utf-8"?>
<sst xmlns="http://schemas.openxmlformats.org/spreadsheetml/2006/main" count="16" uniqueCount="14">
  <si>
    <t>Bubble point</t>
  </si>
  <si>
    <t>Pressure</t>
  </si>
  <si>
    <t>Volume</t>
  </si>
  <si>
    <t>Relative volume test of reservoir fluid</t>
  </si>
  <si>
    <t xml:space="preserve">Differential vaporisation </t>
  </si>
  <si>
    <t>Cumulative gas produced</t>
  </si>
  <si>
    <t>Volume of oil</t>
  </si>
  <si>
    <t>at 60 F</t>
  </si>
  <si>
    <t>Oil removed from PVT cell</t>
  </si>
  <si>
    <t>Residual oil from last stage</t>
  </si>
  <si>
    <t>Gas removed separators at std conditions</t>
  </si>
  <si>
    <t>GOR</t>
  </si>
  <si>
    <t>Oil formation vol factor</t>
  </si>
  <si>
    <t>Separator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</si>
</sst>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6">
    <xf numFmtId="0" fontId="0" fillId="0" borderId="0"/>
    <xf numFmtId="0" fontId="2" fillId="2" borderId="2" applyNumberFormat="0" applyAlignment="0" applyProtection="0"/>
    <xf numFmtId="0" fontId="3" fillId="2" borderId="1" applyNumberFormat="0" applyAlignment="0" applyProtection="0"/>
    <xf numFmtId="0" fontId="4" fillId="0" borderId="3" applyNumberFormat="0" applyFill="0" applyAlignment="0" applyProtection="0"/>
    <xf numFmtId="0" fontId="6" fillId="3" borderId="0" applyNumberFormat="0" applyBorder="0" applyAlignment="0" applyProtection="0"/>
    <xf numFmtId="0" fontId="1" fillId="4" borderId="0" applyNumberFormat="0" applyBorder="0" applyAlignment="0" applyProtection="0"/>
  </cellStyleXfs>
  <cellXfs count="24">
    <xf numFmtId="0" fontId="0" fillId="0" borderId="0" xfId="0"/>
    <xf numFmtId="0" fontId="1" fillId="4" borderId="4" xfId="5" applyBorder="1" applyAlignment="1">
      <alignment horizontal="center"/>
    </xf>
    <xf numFmtId="0" fontId="6" fillId="3" borderId="5" xfId="4" applyBorder="1" applyAlignment="1">
      <alignment horizontal="center" vertical="center"/>
    </xf>
    <xf numFmtId="0" fontId="1" fillId="4" borderId="4" xfId="5" applyBorder="1" applyAlignment="1">
      <alignment horizontal="center" vertical="center"/>
    </xf>
    <xf numFmtId="49" fontId="1" fillId="4" borderId="4" xfId="5" applyNumberFormat="1" applyBorder="1" applyAlignment="1">
      <alignment horizontal="center" vertical="center"/>
    </xf>
    <xf numFmtId="0" fontId="3" fillId="2" borderId="1" xfId="2" applyAlignment="1">
      <alignment horizontal="center"/>
    </xf>
    <xf numFmtId="0" fontId="2" fillId="2" borderId="12" xfId="1" applyFont="1" applyBorder="1" applyAlignment="1">
      <alignment horizontal="center"/>
    </xf>
    <xf numFmtId="0" fontId="8" fillId="0" borderId="15" xfId="3" applyFont="1" applyBorder="1" applyAlignment="1">
      <alignment horizontal="center"/>
    </xf>
    <xf numFmtId="0" fontId="8" fillId="2" borderId="14" xfId="2" applyFont="1" applyBorder="1" applyAlignment="1">
      <alignment horizontal="center"/>
    </xf>
    <xf numFmtId="0" fontId="8" fillId="2" borderId="17" xfId="2" applyFont="1" applyBorder="1" applyAlignment="1">
      <alignment horizontal="center"/>
    </xf>
    <xf numFmtId="0" fontId="6" fillId="3" borderId="4" xfId="4" applyBorder="1" applyAlignment="1">
      <alignment horizontal="center" wrapText="1"/>
    </xf>
    <xf numFmtId="0" fontId="8" fillId="2" borderId="13" xfId="2" applyFont="1" applyBorder="1" applyAlignment="1">
      <alignment horizontal="center"/>
    </xf>
    <xf numFmtId="2" fontId="8" fillId="2" borderId="16" xfId="2" applyNumberFormat="1" applyFont="1" applyBorder="1" applyAlignment="1">
      <alignment horizontal="center"/>
    </xf>
    <xf numFmtId="0" fontId="5" fillId="3" borderId="6" xfId="4" applyFont="1" applyBorder="1" applyAlignment="1">
      <alignment horizontal="center" vertical="center" wrapText="1"/>
    </xf>
    <xf numFmtId="0" fontId="5" fillId="3" borderId="7" xfId="4" applyFont="1" applyBorder="1" applyAlignment="1">
      <alignment horizontal="center" vertical="center" wrapText="1"/>
    </xf>
    <xf numFmtId="0" fontId="5" fillId="3" borderId="8" xfId="4" applyFont="1" applyBorder="1" applyAlignment="1">
      <alignment horizontal="center" vertical="center" wrapText="1"/>
    </xf>
    <xf numFmtId="0" fontId="5" fillId="3" borderId="9" xfId="4" applyFont="1" applyBorder="1" applyAlignment="1">
      <alignment horizontal="center" vertical="center" wrapText="1"/>
    </xf>
    <xf numFmtId="0" fontId="7" fillId="3" borderId="6" xfId="4" applyFont="1" applyBorder="1" applyAlignment="1">
      <alignment horizontal="center" vertical="center" wrapText="1"/>
    </xf>
    <xf numFmtId="0" fontId="7" fillId="3" borderId="10" xfId="4" applyFont="1" applyBorder="1" applyAlignment="1">
      <alignment horizontal="center" vertical="center" wrapText="1"/>
    </xf>
    <xf numFmtId="0" fontId="7" fillId="3" borderId="7" xfId="4" applyFont="1" applyBorder="1" applyAlignment="1">
      <alignment horizontal="center" vertical="center" wrapText="1"/>
    </xf>
    <xf numFmtId="0" fontId="7" fillId="3" borderId="8" xfId="4" applyFont="1" applyBorder="1" applyAlignment="1">
      <alignment horizontal="center" vertical="center" wrapText="1"/>
    </xf>
    <xf numFmtId="0" fontId="7" fillId="3" borderId="11" xfId="4" applyFont="1" applyBorder="1" applyAlignment="1">
      <alignment horizontal="center" vertical="center" wrapText="1"/>
    </xf>
    <xf numFmtId="0" fontId="7" fillId="3" borderId="9" xfId="4" applyFont="1" applyBorder="1" applyAlignment="1">
      <alignment horizontal="center" vertical="center" wrapText="1"/>
    </xf>
    <xf numFmtId="0" fontId="9" fillId="3" borderId="4" xfId="4" applyFont="1" applyBorder="1" applyAlignment="1">
      <alignment horizontal="center"/>
    </xf>
  </cellXfs>
  <cellStyles count="6">
    <cellStyle name="40% - Accent5" xfId="5" builtinId="47"/>
    <cellStyle name="Accent5" xfId="4" builtinId="45"/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 vs. Volume</a:t>
            </a:r>
          </a:p>
        </c:rich>
      </c:tx>
      <c:layout>
        <c:manualLayout>
          <c:xMode val="edge"/>
          <c:yMode val="edge"/>
          <c:x val="0.3983818897637795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Sheet1!$C$5:$C$26</c:f>
              <c:numCache>
                <c:formatCode>General</c:formatCode>
                <c:ptCount val="22"/>
                <c:pt idx="0">
                  <c:v>193.9</c:v>
                </c:pt>
                <c:pt idx="1">
                  <c:v>194.97</c:v>
                </c:pt>
                <c:pt idx="2">
                  <c:v>196.08</c:v>
                </c:pt>
                <c:pt idx="3">
                  <c:v>196.42</c:v>
                </c:pt>
                <c:pt idx="4">
                  <c:v>196.81</c:v>
                </c:pt>
                <c:pt idx="5">
                  <c:v>197.21</c:v>
                </c:pt>
                <c:pt idx="6">
                  <c:v>197.68</c:v>
                </c:pt>
                <c:pt idx="7">
                  <c:v>198</c:v>
                </c:pt>
                <c:pt idx="8">
                  <c:v>198.46</c:v>
                </c:pt>
                <c:pt idx="9">
                  <c:v>199.21</c:v>
                </c:pt>
                <c:pt idx="10">
                  <c:v>200.85</c:v>
                </c:pt>
                <c:pt idx="11">
                  <c:v>201.66</c:v>
                </c:pt>
                <c:pt idx="12">
                  <c:v>204.67</c:v>
                </c:pt>
                <c:pt idx="13">
                  <c:v>208</c:v>
                </c:pt>
                <c:pt idx="14">
                  <c:v>213.29</c:v>
                </c:pt>
                <c:pt idx="15">
                  <c:v>221.82</c:v>
                </c:pt>
                <c:pt idx="16">
                  <c:v>234.39</c:v>
                </c:pt>
                <c:pt idx="17">
                  <c:v>252.81</c:v>
                </c:pt>
                <c:pt idx="18">
                  <c:v>274.35000000000002</c:v>
                </c:pt>
                <c:pt idx="19">
                  <c:v>302.11</c:v>
                </c:pt>
                <c:pt idx="20">
                  <c:v>339.97</c:v>
                </c:pt>
                <c:pt idx="21">
                  <c:v>415.31</c:v>
                </c:pt>
              </c:numCache>
            </c:numRef>
          </c:xVal>
          <c:yVal>
            <c:numRef>
              <c:f>Sheet1!$D$5:$D$26</c:f>
              <c:numCache>
                <c:formatCode>General</c:formatCode>
                <c:ptCount val="22"/>
                <c:pt idx="0">
                  <c:v>5500</c:v>
                </c:pt>
                <c:pt idx="1">
                  <c:v>5000</c:v>
                </c:pt>
                <c:pt idx="2">
                  <c:v>4500</c:v>
                </c:pt>
                <c:pt idx="3">
                  <c:v>4350</c:v>
                </c:pt>
                <c:pt idx="4">
                  <c:v>4173</c:v>
                </c:pt>
                <c:pt idx="5">
                  <c:v>4000</c:v>
                </c:pt>
                <c:pt idx="6">
                  <c:v>3800</c:v>
                </c:pt>
                <c:pt idx="7">
                  <c:v>3675</c:v>
                </c:pt>
                <c:pt idx="8">
                  <c:v>3643</c:v>
                </c:pt>
                <c:pt idx="9">
                  <c:v>3594</c:v>
                </c:pt>
                <c:pt idx="10">
                  <c:v>3493</c:v>
                </c:pt>
                <c:pt idx="11">
                  <c:v>3446</c:v>
                </c:pt>
                <c:pt idx="12">
                  <c:v>3292</c:v>
                </c:pt>
                <c:pt idx="13">
                  <c:v>3146</c:v>
                </c:pt>
                <c:pt idx="14">
                  <c:v>2954</c:v>
                </c:pt>
                <c:pt idx="15">
                  <c:v>2713</c:v>
                </c:pt>
                <c:pt idx="16">
                  <c:v>2453</c:v>
                </c:pt>
                <c:pt idx="17">
                  <c:v>2186</c:v>
                </c:pt>
                <c:pt idx="18">
                  <c:v>1968</c:v>
                </c:pt>
                <c:pt idx="19">
                  <c:v>1769</c:v>
                </c:pt>
                <c:pt idx="20">
                  <c:v>1580</c:v>
                </c:pt>
                <c:pt idx="21">
                  <c:v>1344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04639568"/>
        <c:axId val="-1204633040"/>
      </c:scatterChart>
      <c:valAx>
        <c:axId val="-1204639568"/>
        <c:scaling>
          <c:orientation val="minMax"/>
          <c:max val="250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4633040"/>
        <c:crosses val="autoZero"/>
        <c:crossBetween val="midCat"/>
      </c:valAx>
      <c:valAx>
        <c:axId val="-1204633040"/>
        <c:scaling>
          <c:orientation val="minMax"/>
          <c:min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463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7</xdr:row>
      <xdr:rowOff>142875</xdr:rowOff>
    </xdr:from>
    <xdr:to>
      <xdr:col>6</xdr:col>
      <xdr:colOff>28575</xdr:colOff>
      <xdr:row>14</xdr:row>
      <xdr:rowOff>28575</xdr:rowOff>
    </xdr:to>
    <xdr:sp macro="" textlink="">
      <xdr:nvSpPr>
        <xdr:cNvPr id="10" name="TextBox 9"/>
        <xdr:cNvSpPr txBox="1"/>
      </xdr:nvSpPr>
      <xdr:spPr>
        <a:xfrm>
          <a:off x="2771775" y="1495425"/>
          <a:ext cx="1381125" cy="1219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Change pressure value to get oil formation volume factor and GOR</a:t>
          </a:r>
        </a:p>
      </xdr:txBody>
    </xdr:sp>
    <xdr:clientData/>
  </xdr:twoCellAnchor>
  <xdr:twoCellAnchor>
    <xdr:from>
      <xdr:col>5</xdr:col>
      <xdr:colOff>447675</xdr:colOff>
      <xdr:row>11</xdr:row>
      <xdr:rowOff>133350</xdr:rowOff>
    </xdr:from>
    <xdr:to>
      <xdr:col>5</xdr:col>
      <xdr:colOff>466725</xdr:colOff>
      <xdr:row>13</xdr:row>
      <xdr:rowOff>95250</xdr:rowOff>
    </xdr:to>
    <xdr:cxnSp macro="">
      <xdr:nvCxnSpPr>
        <xdr:cNvPr id="12" name="Straight Arrow Connector 11"/>
        <xdr:cNvCxnSpPr/>
      </xdr:nvCxnSpPr>
      <xdr:spPr>
        <a:xfrm>
          <a:off x="3467100" y="2247900"/>
          <a:ext cx="19050" cy="34290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209550</xdr:colOff>
      <xdr:row>8</xdr:row>
      <xdr:rowOff>23812</xdr:rowOff>
    </xdr:from>
    <xdr:to>
      <xdr:col>15</xdr:col>
      <xdr:colOff>142875</xdr:colOff>
      <xdr:row>22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N26"/>
  <sheetViews>
    <sheetView tabSelected="1" workbookViewId="0">
      <selection activeCell="G19" sqref="G19"/>
    </sheetView>
  </sheetViews>
  <sheetFormatPr defaultRowHeight="15" x14ac:dyDescent="0.25"/>
  <cols>
    <col min="1" max="1" width="4.140625" customWidth="1"/>
    <col min="2" max="2" width="4.28515625" customWidth="1"/>
    <col min="3" max="3" width="13.42578125" customWidth="1"/>
    <col min="4" max="4" width="14.28515625" customWidth="1"/>
    <col min="6" max="6" width="16.5703125" customWidth="1"/>
    <col min="8" max="8" width="13" customWidth="1"/>
    <col min="9" max="9" width="10.85546875" customWidth="1"/>
    <col min="10" max="10" width="23.7109375" customWidth="1"/>
    <col min="12" max="12" width="13.85546875" customWidth="1"/>
    <col min="13" max="13" width="15.42578125" customWidth="1"/>
    <col min="14" max="14" width="22" customWidth="1"/>
  </cols>
  <sheetData>
    <row r="1" spans="3:14" ht="16.5" thickBot="1" x14ac:dyDescent="0.3">
      <c r="L1" s="23" t="s">
        <v>13</v>
      </c>
      <c r="M1" s="23"/>
      <c r="N1" s="23"/>
    </row>
    <row r="2" spans="3:14" ht="15" customHeight="1" x14ac:dyDescent="0.25">
      <c r="C2" s="13" t="s">
        <v>3</v>
      </c>
      <c r="D2" s="14"/>
      <c r="H2" s="17" t="s">
        <v>4</v>
      </c>
      <c r="I2" s="18"/>
      <c r="J2" s="19"/>
      <c r="L2" s="10" t="s">
        <v>8</v>
      </c>
      <c r="M2" s="10" t="s">
        <v>9</v>
      </c>
      <c r="N2" s="10" t="s">
        <v>10</v>
      </c>
    </row>
    <row r="3" spans="3:14" ht="15.75" thickBot="1" x14ac:dyDescent="0.3">
      <c r="C3" s="15"/>
      <c r="D3" s="16"/>
      <c r="H3" s="20"/>
      <c r="I3" s="21"/>
      <c r="J3" s="22"/>
      <c r="L3" s="10"/>
      <c r="M3" s="10"/>
      <c r="N3" s="10"/>
    </row>
    <row r="4" spans="3:14" x14ac:dyDescent="0.25">
      <c r="C4" s="2" t="s">
        <v>2</v>
      </c>
      <c r="D4" s="2" t="s">
        <v>1</v>
      </c>
      <c r="H4" s="2" t="s">
        <v>6</v>
      </c>
      <c r="I4" s="2" t="s">
        <v>1</v>
      </c>
      <c r="J4" s="2" t="s">
        <v>5</v>
      </c>
      <c r="L4" s="1">
        <v>38</v>
      </c>
      <c r="M4" s="1">
        <v>28.34</v>
      </c>
      <c r="N4" s="1">
        <v>3492</v>
      </c>
    </row>
    <row r="5" spans="3:14" x14ac:dyDescent="0.25">
      <c r="C5" s="3">
        <v>193.9</v>
      </c>
      <c r="D5" s="3">
        <v>5500</v>
      </c>
      <c r="H5" s="3">
        <v>177.25</v>
      </c>
      <c r="I5" s="3">
        <f>F19</f>
        <v>3675</v>
      </c>
      <c r="J5" s="3">
        <v>0</v>
      </c>
    </row>
    <row r="6" spans="3:14" x14ac:dyDescent="0.25">
      <c r="C6" s="3">
        <v>194.97</v>
      </c>
      <c r="D6" s="3">
        <v>5000</v>
      </c>
      <c r="H6" s="3">
        <v>171.13</v>
      </c>
      <c r="I6" s="3">
        <v>2942</v>
      </c>
      <c r="J6" s="3">
        <v>698</v>
      </c>
    </row>
    <row r="7" spans="3:14" x14ac:dyDescent="0.25">
      <c r="C7" s="3">
        <v>196.08</v>
      </c>
      <c r="D7" s="3">
        <v>4500</v>
      </c>
      <c r="H7" s="3">
        <v>164.75</v>
      </c>
      <c r="I7" s="3">
        <v>2265</v>
      </c>
      <c r="J7" s="3">
        <v>1440</v>
      </c>
    </row>
    <row r="8" spans="3:14" x14ac:dyDescent="0.25">
      <c r="C8" s="3">
        <v>196.42</v>
      </c>
      <c r="D8" s="3">
        <v>4350</v>
      </c>
      <c r="H8" s="3">
        <v>159.5</v>
      </c>
      <c r="I8" s="3">
        <v>1605</v>
      </c>
      <c r="J8" s="3">
        <v>2051</v>
      </c>
    </row>
    <row r="9" spans="3:14" x14ac:dyDescent="0.25">
      <c r="C9" s="3">
        <v>196.81</v>
      </c>
      <c r="D9" s="3">
        <v>4173</v>
      </c>
      <c r="H9" s="3">
        <v>154.88</v>
      </c>
      <c r="I9" s="3">
        <v>1095</v>
      </c>
      <c r="J9" s="3">
        <v>2537</v>
      </c>
    </row>
    <row r="10" spans="3:14" x14ac:dyDescent="0.25">
      <c r="C10" s="3">
        <v>197.21</v>
      </c>
      <c r="D10" s="3">
        <v>4000</v>
      </c>
      <c r="H10" s="3">
        <v>147.33000000000001</v>
      </c>
      <c r="I10" s="3">
        <v>420</v>
      </c>
      <c r="J10" s="3">
        <v>3322</v>
      </c>
    </row>
    <row r="11" spans="3:14" x14ac:dyDescent="0.25">
      <c r="C11" s="3">
        <v>197.68</v>
      </c>
      <c r="D11" s="3">
        <v>3800</v>
      </c>
      <c r="H11" s="3">
        <v>135.5</v>
      </c>
      <c r="I11" s="3">
        <v>0</v>
      </c>
      <c r="J11" s="3">
        <v>3996</v>
      </c>
    </row>
    <row r="12" spans="3:14" x14ac:dyDescent="0.25">
      <c r="C12" s="3">
        <v>198</v>
      </c>
      <c r="D12" s="3">
        <v>3675</v>
      </c>
      <c r="G12" s="4" t="s">
        <v>7</v>
      </c>
      <c r="H12" s="3">
        <v>125</v>
      </c>
    </row>
    <row r="13" spans="3:14" x14ac:dyDescent="0.25">
      <c r="C13" s="3">
        <v>198.46</v>
      </c>
      <c r="D13" s="3">
        <v>3643</v>
      </c>
    </row>
    <row r="14" spans="3:14" ht="15.75" thickBot="1" x14ac:dyDescent="0.3">
      <c r="C14" s="3">
        <v>199.21</v>
      </c>
      <c r="D14" s="3">
        <v>3594</v>
      </c>
    </row>
    <row r="15" spans="3:14" x14ac:dyDescent="0.25">
      <c r="C15" s="3">
        <v>200.85</v>
      </c>
      <c r="D15" s="3">
        <v>3493</v>
      </c>
      <c r="F15" s="6" t="s">
        <v>1</v>
      </c>
      <c r="G15" s="11" t="s">
        <v>12</v>
      </c>
      <c r="H15" s="11"/>
      <c r="I15" s="8" t="s">
        <v>11</v>
      </c>
    </row>
    <row r="16" spans="3:14" ht="15.75" thickBot="1" x14ac:dyDescent="0.3">
      <c r="C16" s="3">
        <v>201.66</v>
      </c>
      <c r="D16" s="3">
        <v>3446</v>
      </c>
      <c r="F16" s="7">
        <v>3675</v>
      </c>
      <c r="G16" s="12">
        <f>oil_form_factor(C5:D26,H5:I11,F16,L4,M4)</f>
        <v>1.3408609738884969</v>
      </c>
      <c r="H16" s="12"/>
      <c r="I16" s="9">
        <f>gor(C5:D26,H5:J11,F16,H12,L4,M4,N4)</f>
        <v>691.86944248412146</v>
      </c>
    </row>
    <row r="17" spans="3:6" x14ac:dyDescent="0.25">
      <c r="C17" s="3">
        <v>204.67</v>
      </c>
      <c r="D17" s="3">
        <v>3292</v>
      </c>
    </row>
    <row r="18" spans="3:6" x14ac:dyDescent="0.25">
      <c r="C18" s="3">
        <v>208</v>
      </c>
      <c r="D18" s="3">
        <v>3146</v>
      </c>
      <c r="F18" s="5" t="s">
        <v>0</v>
      </c>
    </row>
    <row r="19" spans="3:6" x14ac:dyDescent="0.25">
      <c r="C19" s="3">
        <v>213.29</v>
      </c>
      <c r="D19" s="3">
        <v>2954</v>
      </c>
      <c r="F19" s="5">
        <f>bubble_point(C5:D26)</f>
        <v>3675</v>
      </c>
    </row>
    <row r="20" spans="3:6" x14ac:dyDescent="0.25">
      <c r="C20" s="3">
        <v>221.82</v>
      </c>
      <c r="D20" s="3">
        <v>2713</v>
      </c>
    </row>
    <row r="21" spans="3:6" x14ac:dyDescent="0.25">
      <c r="C21" s="3">
        <v>234.39</v>
      </c>
      <c r="D21" s="3">
        <v>2453</v>
      </c>
    </row>
    <row r="22" spans="3:6" x14ac:dyDescent="0.25">
      <c r="C22" s="3">
        <v>252.81</v>
      </c>
      <c r="D22" s="3">
        <v>2186</v>
      </c>
    </row>
    <row r="23" spans="3:6" x14ac:dyDescent="0.25">
      <c r="C23" s="3">
        <v>274.35000000000002</v>
      </c>
      <c r="D23" s="3">
        <v>1968</v>
      </c>
    </row>
    <row r="24" spans="3:6" x14ac:dyDescent="0.25">
      <c r="C24" s="3">
        <v>302.11</v>
      </c>
      <c r="D24" s="3">
        <v>1769</v>
      </c>
    </row>
    <row r="25" spans="3:6" x14ac:dyDescent="0.25">
      <c r="C25" s="3">
        <v>339.97</v>
      </c>
      <c r="D25" s="3">
        <v>1580</v>
      </c>
    </row>
    <row r="26" spans="3:6" x14ac:dyDescent="0.25">
      <c r="C26" s="3">
        <v>415.31</v>
      </c>
      <c r="D26" s="3">
        <v>1344</v>
      </c>
    </row>
  </sheetData>
  <mergeCells count="8">
    <mergeCell ref="L1:N1"/>
    <mergeCell ref="N2:N3"/>
    <mergeCell ref="G15:H15"/>
    <mergeCell ref="G16:H16"/>
    <mergeCell ref="C2:D3"/>
    <mergeCell ref="H2:J3"/>
    <mergeCell ref="L2:L3"/>
    <mergeCell ref="M2:M3"/>
  </mergeCells>
  <pageMargins left="0.7" right="0.7" top="0.75" bottom="0.75" header="0.3" footer="0.3"/>
  <pageSetup orientation="portrait" horizontalDpi="300" verticalDpi="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Novruz Engineer</dc:creator>
  <cp:lastModifiedBy>Novruz Engineer</cp:lastModifiedBy>
  <dcterms:created xsi:type="dcterms:W3CDTF">2019-03-14T05:52:41Z</dcterms:created>
  <dcterms:modified xsi:type="dcterms:W3CDTF">2019-03-14T19:01:24Z</dcterms:modified>
</cp:coreProperties>
</file>